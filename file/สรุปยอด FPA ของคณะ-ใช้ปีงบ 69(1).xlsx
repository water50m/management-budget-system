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2280C01-F155-4F4F-9EEF-8D5D7AE1ED80}" xr6:coauthVersionLast="47" xr6:coauthVersionMax="47" xr10:uidLastSave="{00000000-0000-0000-0000-000000000000}"/>
  <bookViews>
    <workbookView xWindow="-120" yWindow="60" windowWidth="16170" windowHeight="15330" xr2:uid="{00000000-000D-0000-FFFF-FFFF00000000}"/>
  </bookViews>
  <sheets>
    <sheet name="2568" sheetId="18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1" i="18" l="1"/>
  <c r="F70" i="18" l="1"/>
  <c r="F67" i="18"/>
  <c r="F42" i="18"/>
  <c r="F21" i="18"/>
  <c r="F12" i="18"/>
</calcChain>
</file>

<file path=xl/sharedStrings.xml><?xml version="1.0" encoding="utf-8"?>
<sst xmlns="http://schemas.openxmlformats.org/spreadsheetml/2006/main" count="152" uniqueCount="121">
  <si>
    <t>สรุปยอดงบประมาณสำหรับการพัฒนาวิชาการและการวิจัยของคณาจารย์</t>
  </si>
  <si>
    <t>ชื่อ-นามสกุล</t>
  </si>
  <si>
    <t>จำนวนเงิน</t>
  </si>
  <si>
    <t>ว/ด/ป ที่ได้รับอนุมัติ</t>
  </si>
  <si>
    <t>หมายเหตุ</t>
  </si>
  <si>
    <t>ภาควิชา</t>
  </si>
  <si>
    <t>กายวิภาคศาสตร์</t>
  </si>
  <si>
    <t>ถาน้อย</t>
  </si>
  <si>
    <t>ชีวเคมี</t>
  </si>
  <si>
    <t>สงวนเสริมศรี</t>
  </si>
  <si>
    <t>จุลชีววิทยาฯ</t>
  </si>
  <si>
    <t>สิทธิศักดิ์</t>
  </si>
  <si>
    <t>ศิษยนเรนทร์</t>
  </si>
  <si>
    <t>สรีรวิทยา</t>
  </si>
  <si>
    <t>มาลากุล</t>
  </si>
  <si>
    <t>ดวงจิตร</t>
  </si>
  <si>
    <t>วิทย์ตะ</t>
  </si>
  <si>
    <t>บุญชู</t>
  </si>
  <si>
    <t>ทองวัฒน์</t>
  </si>
  <si>
    <t>ขันธเลิศ</t>
  </si>
  <si>
    <t>แก้วก่อง</t>
  </si>
  <si>
    <t>สำนักงานฯ</t>
  </si>
  <si>
    <t>ศรีสว่าง</t>
  </si>
  <si>
    <t>ตันโสภณ</t>
  </si>
  <si>
    <t>ลิ้มมงคล</t>
  </si>
  <si>
    <t>ดร.อัญชลี</t>
  </si>
  <si>
    <t>ฐานวิสัย</t>
  </si>
  <si>
    <t>รศ.ดร.ดลฤดี</t>
  </si>
  <si>
    <t>รศ.ดร.ดำรงพันธุ์</t>
  </si>
  <si>
    <t>รศ.ดร.สุทธิรัตน์</t>
  </si>
  <si>
    <t>หาญช้าง</t>
  </si>
  <si>
    <t>ผศ.ดร.กัญณิภา</t>
  </si>
  <si>
    <t>ทัศนภักดิ์</t>
  </si>
  <si>
    <t>ชมภู</t>
  </si>
  <si>
    <t>รศ.ดร.อัญชลี</t>
  </si>
  <si>
    <t>รศ.ดร.ดวงกมล</t>
  </si>
  <si>
    <t>รศ.ดร.อภินันท์</t>
  </si>
  <si>
    <t>รศ.ดร.อภิชาติ</t>
  </si>
  <si>
    <t>รศ.ดร.นพวรรณ</t>
  </si>
  <si>
    <t>ภูเด่นแดน</t>
  </si>
  <si>
    <t>รศ.ดร.วรศักดิ์</t>
  </si>
  <si>
    <t>2 เรื่อง</t>
  </si>
  <si>
    <t>ศ.ดร.สุทิสา</t>
  </si>
  <si>
    <t>พินิจ</t>
  </si>
  <si>
    <t>คณะวิทยาศาสตร์การแพทย์ ที่เสนอขอรับการสนับสนุน ประจำปีงบประมาณ 2568 (ใช้เงินงบ 69)</t>
  </si>
  <si>
    <t>3 พ.ค.67</t>
  </si>
  <si>
    <t>14 พ.ค.67</t>
  </si>
  <si>
    <t>10 มิ.ย.67</t>
  </si>
  <si>
    <t>19 มิ.ย.67</t>
  </si>
  <si>
    <t>21 มิ.ย.67</t>
  </si>
  <si>
    <t>นายพิสิฐ</t>
  </si>
  <si>
    <t>แสงอนันตการ</t>
  </si>
  <si>
    <t>26 มิ.ย.67</t>
  </si>
  <si>
    <t>ผศ.ชนสรณ์</t>
  </si>
  <si>
    <t>2 ก.ค.67</t>
  </si>
  <si>
    <t>รศ.ดร.วชิราวดี</t>
  </si>
  <si>
    <t>9 ก.ค.67</t>
  </si>
  <si>
    <t>10 ก.ค.67</t>
  </si>
  <si>
    <t>ผศ.ดร.สุชาดา</t>
  </si>
  <si>
    <t>พิมเสน</t>
  </si>
  <si>
    <t>19 ก.ค.67</t>
  </si>
  <si>
    <t>14 ส.ค.67</t>
  </si>
  <si>
    <t>ขอผศ.</t>
  </si>
  <si>
    <t>ขอรศ.</t>
  </si>
  <si>
    <t>ผศ.ดร.นราวดี</t>
  </si>
  <si>
    <t>23 ส.ค.67</t>
  </si>
  <si>
    <t>2 ก.ย.67</t>
  </si>
  <si>
    <t>7 ต.ค.67</t>
  </si>
  <si>
    <t>4 ต.ค.67</t>
  </si>
  <si>
    <t xml:space="preserve">3 เรื่อง </t>
  </si>
  <si>
    <t>10 ต.ค.67</t>
  </si>
  <si>
    <t>11 ต.ค.67</t>
  </si>
  <si>
    <t xml:space="preserve">4 เรื่อง </t>
  </si>
  <si>
    <t>31 ต.ค.67</t>
  </si>
  <si>
    <t>28 ต.ค.67</t>
  </si>
  <si>
    <t>รศ.ดร.ปิยะรัตน์</t>
  </si>
  <si>
    <t>5 พ.ย.67</t>
  </si>
  <si>
    <t>อ.สุทัศน์</t>
  </si>
  <si>
    <t>30 ต.ค.67</t>
  </si>
  <si>
    <t>15 พ.ย.67</t>
  </si>
  <si>
    <t>22 พ.ย.67</t>
  </si>
  <si>
    <t>25 พ.ย.67</t>
  </si>
  <si>
    <t>29 พ.ย.67</t>
  </si>
  <si>
    <t>3 ธ.ค.67</t>
  </si>
  <si>
    <t>3 ก.พ.68</t>
  </si>
  <si>
    <t>4 ก.พ.68</t>
  </si>
  <si>
    <t>17 ม.ค.68</t>
  </si>
  <si>
    <t>ผศ.ดร.สมภพว์</t>
  </si>
  <si>
    <t>13 ม.ค.68</t>
  </si>
  <si>
    <t>ข้อมูล ณ วันที่ 18 กุมภาพันธ์ 2568</t>
  </si>
  <si>
    <t>ผศ.ดร.รัมภา</t>
  </si>
  <si>
    <t>จุฑะกนก</t>
  </si>
  <si>
    <t>28 ก.พ.68</t>
  </si>
  <si>
    <t xml:space="preserve">อยู่ในกันเงิน 200,000.-บาท </t>
  </si>
  <si>
    <t>ดร.ณัฐพงษ์</t>
  </si>
  <si>
    <t>ยาวุฒิ</t>
  </si>
  <si>
    <t>25 มี.ค.68</t>
  </si>
  <si>
    <t>ผศ.ดร.ทิพย์ภาพร</t>
  </si>
  <si>
    <t>บัวเลิง</t>
  </si>
  <si>
    <t>28 มี.ค.68</t>
  </si>
  <si>
    <t>รศ.ดร.สะการะ</t>
  </si>
  <si>
    <t>รศ.ดร.วันทณี</t>
  </si>
  <si>
    <t>รศ.ดร.อรระวี</t>
  </si>
  <si>
    <t>คงสมบัติ</t>
  </si>
  <si>
    <t>9 เม.ย.68</t>
  </si>
  <si>
    <t>28 เม.ย.68</t>
  </si>
  <si>
    <t>ผศ.ดร.โศภิศ</t>
  </si>
  <si>
    <t>คันธวงศ์</t>
  </si>
  <si>
    <t>29 เม.ย.68</t>
  </si>
  <si>
    <t>3 ก.ค.68</t>
  </si>
  <si>
    <t>8 ก.ค.68</t>
  </si>
  <si>
    <t>ดร.ศศิธร</t>
  </si>
  <si>
    <t>วรรณอุดม</t>
  </si>
  <si>
    <t>17 ก.ค.68</t>
  </si>
  <si>
    <t>จดสิทธิบัตร 1 เรื่อง</t>
  </si>
  <si>
    <t>30 ก.ค.68</t>
  </si>
  <si>
    <t>4 ส.ค.68</t>
  </si>
  <si>
    <t>ดร.สาธิต</t>
  </si>
  <si>
    <t>เอี่ยมจงจันทร์</t>
  </si>
  <si>
    <t>7 ก.ค.68</t>
  </si>
  <si>
    <t>ข้อมูล ณ วันที่ 24 กันยายน 2568 เพิ่มเติม กันเงิน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</si>
</sst>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6"/>
      <color rgb="FFFF0000"/>
      <name val="TH Sarabun New"/>
      <family val="2"/>
    </font>
    <font>
      <sz val="14"/>
      <name val="TH Sarabun New"/>
      <family val="2"/>
    </font>
    <font>
      <b/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2" borderId="0" xfId="0" applyFont="1" applyFill="1"/>
    <xf numFmtId="0" fontId="2" fillId="2" borderId="1" xfId="0" applyFont="1" applyFill="1" applyBorder="1"/>
    <xf numFmtId="0" fontId="4" fillId="2" borderId="1" xfId="0" applyFont="1" applyFill="1" applyBorder="1"/>
    <xf numFmtId="43" fontId="4" fillId="2" borderId="1" xfId="1" applyFont="1" applyFill="1" applyBorder="1"/>
    <xf numFmtId="43" fontId="2" fillId="2" borderId="1" xfId="0" applyNumberFormat="1" applyFont="1" applyFill="1" applyBorder="1"/>
    <xf numFmtId="0" fontId="5" fillId="2" borderId="1" xfId="0" applyFont="1" applyFill="1" applyBorder="1"/>
    <xf numFmtId="43" fontId="5" fillId="2" borderId="1" xfId="1" applyFont="1" applyFill="1" applyBorder="1"/>
    <xf numFmtId="0" fontId="3" fillId="2" borderId="1" xfId="0" applyFont="1" applyFill="1" applyBorder="1"/>
    <xf numFmtId="0" fontId="6" fillId="2" borderId="1" xfId="0" applyFont="1" applyFill="1" applyBorder="1"/>
    <xf numFmtId="43" fontId="5" fillId="2" borderId="2" xfId="1" applyFont="1" applyFill="1" applyBorder="1"/>
    <xf numFmtId="43" fontId="3" fillId="2" borderId="1" xfId="1" applyFont="1" applyFill="1" applyBorder="1"/>
    <xf numFmtId="43" fontId="2" fillId="2" borderId="2" xfId="0" applyNumberFormat="1" applyFont="1" applyFill="1" applyBorder="1"/>
    <xf numFmtId="43" fontId="3" fillId="2" borderId="0" xfId="0" applyNumberFormat="1" applyFont="1" applyFill="1"/>
    <xf numFmtId="187" fontId="3" fillId="2" borderId="0" xfId="0" applyNumberFormat="1" applyFont="1" applyFill="1"/>
    <xf numFmtId="0" fontId="7" fillId="0" borderId="0" xfId="0" applyFont="1"/>
    <xf numFmtId="0" fontId="3" fillId="2" borderId="0" xfId="0" applyFont="1" applyFill="1" applyAlignment="1">
      <alignment horizontal="left"/>
    </xf>
    <xf numFmtId="43" fontId="4" fillId="0" borderId="1" xfId="1" applyFont="1" applyFill="1" applyBorder="1"/>
    <xf numFmtId="43" fontId="5" fillId="2" borderId="1" xfId="1" applyNumberFormat="1" applyFont="1" applyFill="1" applyBorder="1"/>
    <xf numFmtId="0" fontId="7" fillId="2" borderId="1" xfId="0" applyFont="1" applyFill="1" applyBorder="1"/>
    <xf numFmtId="43" fontId="7" fillId="2" borderId="1" xfId="0" applyNumberFormat="1" applyFont="1" applyFill="1" applyBorder="1"/>
    <xf numFmtId="43" fontId="4" fillId="2" borderId="1" xfId="0" applyNumberFormat="1" applyFont="1" applyFill="1" applyBorder="1" applyAlignment="1">
      <alignment horizontal="left" vertical="top"/>
    </xf>
    <xf numFmtId="43" fontId="4" fillId="2" borderId="1" xfId="0" applyNumberFormat="1" applyFont="1" applyFill="1" applyBorder="1"/>
    <xf numFmtId="43" fontId="4" fillId="2" borderId="1" xfId="0" applyNumberFormat="1" applyFont="1" applyFill="1" applyBorder="1" applyAlignment="1">
      <alignment horizontal="left"/>
    </xf>
    <xf numFmtId="43" fontId="4" fillId="2" borderId="2" xfId="1" applyFont="1" applyFill="1" applyBorder="1"/>
    <xf numFmtId="0" fontId="7" fillId="2" borderId="1" xfId="0" applyFont="1" applyFill="1" applyBorder="1" applyAlignment="1">
      <alignment horizontal="center"/>
    </xf>
    <xf numFmtId="49" fontId="4" fillId="2" borderId="1" xfId="0" applyNumberFormat="1" applyFont="1" applyFill="1" applyBorder="1"/>
    <xf numFmtId="49" fontId="4" fillId="0" borderId="1" xfId="0" applyNumberFormat="1" applyFont="1" applyFill="1" applyBorder="1"/>
    <xf numFmtId="49" fontId="5" fillId="2" borderId="1" xfId="0" applyNumberFormat="1" applyFont="1" applyFill="1" applyBorder="1"/>
    <xf numFmtId="49" fontId="3" fillId="2" borderId="1" xfId="0" applyNumberFormat="1" applyFont="1" applyFill="1" applyBorder="1"/>
    <xf numFmtId="0" fontId="3" fillId="0" borderId="0" xfId="0" applyFont="1" applyFill="1"/>
    <xf numFmtId="0" fontId="5" fillId="3" borderId="1" xfId="0" applyFont="1" applyFill="1" applyBorder="1"/>
    <xf numFmtId="43" fontId="5" fillId="3" borderId="1" xfId="1" applyFont="1" applyFill="1" applyBorder="1"/>
    <xf numFmtId="49" fontId="5" fillId="3" borderId="1" xfId="0" applyNumberFormat="1" applyFont="1" applyFill="1" applyBorder="1"/>
    <xf numFmtId="0" fontId="5" fillId="3" borderId="0" xfId="0" applyFont="1" applyFill="1"/>
    <xf numFmtId="0" fontId="3" fillId="3" borderId="0" xfId="0" applyFont="1" applyFill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85C-96D4-4EB3-B46F-28F78CA48E6E}">
  <dimension ref="A1:K74"/>
  <sheetViews>
    <sheetView tabSelected="1" showWhiteSpace="0" topLeftCell="A61" zoomScaleNormal="100" workbookViewId="0">
      <selection activeCell="F78" sqref="F78"/>
    </sheetView>
  </sheetViews>
  <sheetFormatPr defaultColWidth="9" defaultRowHeight="24" x14ac:dyDescent="0.55000000000000004"/>
  <cols>
    <col min="1" max="1" width="16.375" style="1" bestFit="1" customWidth="1"/>
    <col min="2" max="2" width="18.125" style="1" customWidth="1"/>
    <col min="3" max="3" width="15" style="1" customWidth="1"/>
    <col min="4" max="4" width="13.125" style="1" customWidth="1"/>
    <col min="5" max="5" width="17.75" style="1" customWidth="1"/>
    <col min="6" max="6" width="12.875" style="1" customWidth="1"/>
    <col min="7" max="7" width="8.75" style="1" customWidth="1"/>
    <col min="8" max="8" width="12.125" style="1" bestFit="1" customWidth="1"/>
    <col min="9" max="16384" width="9" style="1"/>
  </cols>
  <sheetData>
    <row r="1" spans="1:11" x14ac:dyDescent="0.55000000000000004">
      <c r="A1" s="36" t="s">
        <v>0</v>
      </c>
      <c r="B1" s="36"/>
      <c r="C1" s="36"/>
      <c r="D1" s="36"/>
      <c r="E1" s="36"/>
      <c r="F1" s="36"/>
    </row>
    <row r="2" spans="1:11" x14ac:dyDescent="0.55000000000000004">
      <c r="A2" s="36" t="s">
        <v>44</v>
      </c>
      <c r="B2" s="36"/>
      <c r="C2" s="36"/>
      <c r="D2" s="36"/>
      <c r="E2" s="36"/>
      <c r="F2" s="36"/>
    </row>
    <row r="3" spans="1:11" x14ac:dyDescent="0.55000000000000004">
      <c r="A3" s="25" t="s">
        <v>5</v>
      </c>
      <c r="B3" s="37" t="s">
        <v>1</v>
      </c>
      <c r="C3" s="37"/>
      <c r="D3" s="25" t="s">
        <v>2</v>
      </c>
      <c r="E3" s="25" t="s">
        <v>3</v>
      </c>
      <c r="F3" s="25" t="s">
        <v>4</v>
      </c>
    </row>
    <row r="4" spans="1:11" x14ac:dyDescent="0.55000000000000004">
      <c r="A4" s="19" t="s">
        <v>6</v>
      </c>
      <c r="B4" s="3" t="s">
        <v>42</v>
      </c>
      <c r="C4" s="3" t="s">
        <v>7</v>
      </c>
      <c r="D4" s="4">
        <v>14000</v>
      </c>
      <c r="E4" s="26" t="s">
        <v>47</v>
      </c>
      <c r="F4" s="3" t="s">
        <v>69</v>
      </c>
    </row>
    <row r="5" spans="1:11" x14ac:dyDescent="0.55000000000000004">
      <c r="A5" s="19"/>
      <c r="B5" s="3"/>
      <c r="C5" s="3"/>
      <c r="D5" s="4">
        <v>4000</v>
      </c>
      <c r="E5" s="26" t="s">
        <v>79</v>
      </c>
      <c r="F5" s="3"/>
    </row>
    <row r="6" spans="1:11" x14ac:dyDescent="0.55000000000000004">
      <c r="A6" s="19"/>
      <c r="B6" s="3"/>
      <c r="C6" s="3"/>
      <c r="D6" s="4">
        <v>5000</v>
      </c>
      <c r="E6" s="26" t="s">
        <v>108</v>
      </c>
      <c r="F6" s="3"/>
      <c r="G6" s="34" t="s">
        <v>93</v>
      </c>
    </row>
    <row r="7" spans="1:11" x14ac:dyDescent="0.55000000000000004">
      <c r="A7" s="19"/>
      <c r="B7" s="3" t="s">
        <v>53</v>
      </c>
      <c r="C7" s="3" t="s">
        <v>39</v>
      </c>
      <c r="D7" s="4">
        <v>4000</v>
      </c>
      <c r="E7" s="26" t="s">
        <v>54</v>
      </c>
      <c r="F7" s="21"/>
      <c r="K7" s="16"/>
    </row>
    <row r="8" spans="1:11" x14ac:dyDescent="0.55000000000000004">
      <c r="A8" s="19"/>
      <c r="B8" s="3" t="s">
        <v>64</v>
      </c>
      <c r="C8" s="3" t="s">
        <v>33</v>
      </c>
      <c r="D8" s="4">
        <v>3000</v>
      </c>
      <c r="E8" s="26" t="s">
        <v>61</v>
      </c>
      <c r="F8" s="20"/>
    </row>
    <row r="9" spans="1:11" x14ac:dyDescent="0.55000000000000004">
      <c r="A9" s="19"/>
      <c r="B9" s="3"/>
      <c r="C9" s="3"/>
      <c r="D9" s="4">
        <v>10000</v>
      </c>
      <c r="E9" s="26" t="s">
        <v>61</v>
      </c>
      <c r="F9" s="23" t="s">
        <v>62</v>
      </c>
    </row>
    <row r="10" spans="1:11" x14ac:dyDescent="0.55000000000000004">
      <c r="A10" s="19"/>
      <c r="B10" s="3" t="s">
        <v>111</v>
      </c>
      <c r="C10" s="3" t="s">
        <v>112</v>
      </c>
      <c r="D10" s="4">
        <v>5000</v>
      </c>
      <c r="E10" s="26" t="s">
        <v>110</v>
      </c>
      <c r="F10" s="9"/>
      <c r="G10" s="34" t="s">
        <v>93</v>
      </c>
    </row>
    <row r="11" spans="1:11" x14ac:dyDescent="0.55000000000000004">
      <c r="A11" s="19"/>
      <c r="B11" s="6"/>
      <c r="C11" s="6"/>
      <c r="D11" s="7"/>
      <c r="E11" s="28"/>
      <c r="F11" s="23"/>
    </row>
    <row r="12" spans="1:11" x14ac:dyDescent="0.55000000000000004">
      <c r="A12" s="19"/>
      <c r="B12" s="6"/>
      <c r="C12" s="6"/>
      <c r="D12" s="7"/>
      <c r="E12" s="28"/>
      <c r="F12" s="20">
        <f>SUM(D4:D11)</f>
        <v>45000</v>
      </c>
    </row>
    <row r="13" spans="1:11" x14ac:dyDescent="0.55000000000000004">
      <c r="A13" s="19"/>
      <c r="B13" s="6"/>
      <c r="C13" s="6"/>
      <c r="D13" s="7"/>
      <c r="E13" s="28"/>
      <c r="F13" s="22"/>
    </row>
    <row r="14" spans="1:11" x14ac:dyDescent="0.55000000000000004">
      <c r="A14" s="19" t="s">
        <v>8</v>
      </c>
      <c r="B14" s="3" t="s">
        <v>36</v>
      </c>
      <c r="C14" s="3" t="s">
        <v>24</v>
      </c>
      <c r="D14" s="4">
        <v>17000</v>
      </c>
      <c r="E14" s="27" t="s">
        <v>49</v>
      </c>
      <c r="F14" s="3" t="s">
        <v>72</v>
      </c>
    </row>
    <row r="15" spans="1:11" x14ac:dyDescent="0.55000000000000004">
      <c r="A15" s="3"/>
      <c r="B15" s="3" t="s">
        <v>58</v>
      </c>
      <c r="C15" s="3" t="s">
        <v>59</v>
      </c>
      <c r="D15" s="4">
        <v>10000</v>
      </c>
      <c r="E15" s="26" t="s">
        <v>60</v>
      </c>
      <c r="F15" s="23" t="s">
        <v>62</v>
      </c>
    </row>
    <row r="16" spans="1:11" x14ac:dyDescent="0.55000000000000004">
      <c r="A16" s="3"/>
      <c r="B16" s="3"/>
      <c r="C16" s="3"/>
      <c r="D16" s="4">
        <v>3000</v>
      </c>
      <c r="E16" s="26" t="s">
        <v>80</v>
      </c>
      <c r="F16" s="23"/>
    </row>
    <row r="17" spans="1:7" x14ac:dyDescent="0.55000000000000004">
      <c r="A17" s="3"/>
      <c r="B17" s="3" t="s">
        <v>40</v>
      </c>
      <c r="C17" s="3" t="s">
        <v>20</v>
      </c>
      <c r="D17" s="4">
        <v>4000</v>
      </c>
      <c r="E17" s="26" t="s">
        <v>70</v>
      </c>
      <c r="F17" s="23"/>
    </row>
    <row r="18" spans="1:7" x14ac:dyDescent="0.55000000000000004">
      <c r="A18" s="3"/>
      <c r="B18" s="3" t="s">
        <v>87</v>
      </c>
      <c r="C18" s="3" t="s">
        <v>43</v>
      </c>
      <c r="D18" s="4">
        <v>10000</v>
      </c>
      <c r="E18" s="26" t="s">
        <v>88</v>
      </c>
      <c r="F18" s="23" t="s">
        <v>62</v>
      </c>
    </row>
    <row r="19" spans="1:7" x14ac:dyDescent="0.55000000000000004">
      <c r="A19" s="3"/>
      <c r="B19" s="3" t="s">
        <v>117</v>
      </c>
      <c r="C19" s="3" t="s">
        <v>118</v>
      </c>
      <c r="D19" s="4">
        <v>7500</v>
      </c>
      <c r="E19" s="26" t="s">
        <v>119</v>
      </c>
      <c r="F19" s="9"/>
      <c r="G19" s="34" t="s">
        <v>93</v>
      </c>
    </row>
    <row r="20" spans="1:7" x14ac:dyDescent="0.55000000000000004">
      <c r="A20" s="3"/>
      <c r="B20" s="6"/>
      <c r="C20" s="6"/>
      <c r="D20" s="7"/>
      <c r="E20" s="28"/>
      <c r="F20" s="3"/>
    </row>
    <row r="21" spans="1:7" x14ac:dyDescent="0.55000000000000004">
      <c r="A21" s="3"/>
      <c r="B21" s="6"/>
      <c r="C21" s="6"/>
      <c r="D21" s="7"/>
      <c r="E21" s="28"/>
      <c r="F21" s="20">
        <f>SUM(D14:D20)</f>
        <v>51500</v>
      </c>
    </row>
    <row r="22" spans="1:7" x14ac:dyDescent="0.55000000000000004">
      <c r="A22" s="3"/>
      <c r="B22" s="6"/>
      <c r="C22" s="6"/>
      <c r="D22" s="7"/>
      <c r="E22" s="28"/>
      <c r="F22" s="20"/>
    </row>
    <row r="23" spans="1:7" x14ac:dyDescent="0.55000000000000004">
      <c r="A23" s="19" t="s">
        <v>10</v>
      </c>
      <c r="B23" s="3" t="s">
        <v>34</v>
      </c>
      <c r="C23" s="3" t="s">
        <v>12</v>
      </c>
      <c r="D23" s="17">
        <v>6000</v>
      </c>
      <c r="E23" s="27" t="s">
        <v>71</v>
      </c>
      <c r="F23" s="3" t="s">
        <v>41</v>
      </c>
    </row>
    <row r="24" spans="1:7" x14ac:dyDescent="0.55000000000000004">
      <c r="A24" s="19"/>
      <c r="B24" s="3" t="s">
        <v>37</v>
      </c>
      <c r="C24" s="3" t="s">
        <v>16</v>
      </c>
      <c r="D24" s="4">
        <v>5000</v>
      </c>
      <c r="E24" s="27" t="s">
        <v>45</v>
      </c>
      <c r="F24" s="3"/>
    </row>
    <row r="25" spans="1:7" x14ac:dyDescent="0.55000000000000004">
      <c r="A25" s="19"/>
      <c r="B25" s="6"/>
      <c r="C25" s="6"/>
      <c r="D25" s="4">
        <v>5000</v>
      </c>
      <c r="E25" s="27" t="s">
        <v>48</v>
      </c>
      <c r="F25" s="3"/>
    </row>
    <row r="26" spans="1:7" x14ac:dyDescent="0.55000000000000004">
      <c r="A26" s="19"/>
      <c r="B26" s="6"/>
      <c r="C26" s="6"/>
      <c r="D26" s="4">
        <v>5000</v>
      </c>
      <c r="E26" s="27" t="s">
        <v>67</v>
      </c>
      <c r="F26" s="3"/>
    </row>
    <row r="27" spans="1:7" x14ac:dyDescent="0.55000000000000004">
      <c r="A27" s="19"/>
      <c r="B27" s="6"/>
      <c r="C27" s="6"/>
      <c r="D27" s="4">
        <v>2000</v>
      </c>
      <c r="E27" s="27" t="s">
        <v>74</v>
      </c>
      <c r="F27" s="3"/>
    </row>
    <row r="28" spans="1:7" x14ac:dyDescent="0.55000000000000004">
      <c r="A28" s="19"/>
      <c r="B28" s="3" t="s">
        <v>38</v>
      </c>
      <c r="C28" s="3" t="s">
        <v>17</v>
      </c>
      <c r="D28" s="4">
        <v>5000</v>
      </c>
      <c r="E28" s="27" t="s">
        <v>66</v>
      </c>
      <c r="F28" s="3"/>
    </row>
    <row r="29" spans="1:7" x14ac:dyDescent="0.55000000000000004">
      <c r="A29" s="19"/>
      <c r="B29" s="3" t="s">
        <v>35</v>
      </c>
      <c r="C29" s="3" t="s">
        <v>19</v>
      </c>
      <c r="D29" s="4">
        <v>5000</v>
      </c>
      <c r="E29" s="27" t="s">
        <v>65</v>
      </c>
      <c r="F29" s="3"/>
    </row>
    <row r="30" spans="1:7" x14ac:dyDescent="0.55000000000000004">
      <c r="A30" s="19"/>
      <c r="B30" s="3"/>
      <c r="C30" s="3"/>
      <c r="D30" s="4">
        <v>4000</v>
      </c>
      <c r="E30" s="27" t="s">
        <v>81</v>
      </c>
      <c r="F30" s="3"/>
    </row>
    <row r="31" spans="1:7" x14ac:dyDescent="0.55000000000000004">
      <c r="A31" s="19"/>
      <c r="B31" s="3" t="s">
        <v>27</v>
      </c>
      <c r="C31" s="3" t="s">
        <v>9</v>
      </c>
      <c r="D31" s="17">
        <v>5000</v>
      </c>
      <c r="E31" s="27" t="s">
        <v>46</v>
      </c>
      <c r="F31" s="3"/>
    </row>
    <row r="32" spans="1:7" x14ac:dyDescent="0.55000000000000004">
      <c r="A32" s="19"/>
      <c r="B32" s="3"/>
      <c r="C32" s="3"/>
      <c r="D32" s="4">
        <v>4000</v>
      </c>
      <c r="E32" s="26" t="s">
        <v>57</v>
      </c>
      <c r="F32" s="3"/>
    </row>
    <row r="33" spans="1:9" x14ac:dyDescent="0.55000000000000004">
      <c r="A33" s="19"/>
      <c r="B33" s="3"/>
      <c r="C33" s="3"/>
      <c r="D33" s="4">
        <v>3000</v>
      </c>
      <c r="E33" s="26" t="s">
        <v>74</v>
      </c>
      <c r="F33" s="3"/>
    </row>
    <row r="34" spans="1:9" x14ac:dyDescent="0.55000000000000004">
      <c r="A34" s="19"/>
      <c r="B34" s="3" t="s">
        <v>31</v>
      </c>
      <c r="C34" s="3" t="s">
        <v>32</v>
      </c>
      <c r="D34" s="4">
        <v>5000</v>
      </c>
      <c r="E34" s="27" t="s">
        <v>68</v>
      </c>
      <c r="F34" s="3"/>
    </row>
    <row r="35" spans="1:9" x14ac:dyDescent="0.55000000000000004">
      <c r="A35" s="19"/>
      <c r="B35" s="3"/>
      <c r="C35" s="3"/>
      <c r="D35" s="4">
        <v>4000</v>
      </c>
      <c r="E35" s="27" t="s">
        <v>116</v>
      </c>
      <c r="F35" s="3"/>
      <c r="G35" s="34" t="s">
        <v>93</v>
      </c>
    </row>
    <row r="36" spans="1:9" x14ac:dyDescent="0.55000000000000004">
      <c r="A36" s="19"/>
      <c r="B36" s="3" t="s">
        <v>28</v>
      </c>
      <c r="C36" s="3" t="s">
        <v>18</v>
      </c>
      <c r="D36" s="17">
        <v>2000</v>
      </c>
      <c r="E36" s="27" t="s">
        <v>71</v>
      </c>
      <c r="F36" s="3"/>
    </row>
    <row r="37" spans="1:9" x14ac:dyDescent="0.55000000000000004">
      <c r="A37" s="19"/>
      <c r="B37" s="3" t="s">
        <v>25</v>
      </c>
      <c r="C37" s="3" t="s">
        <v>26</v>
      </c>
      <c r="D37" s="17">
        <v>4000</v>
      </c>
      <c r="E37" s="27" t="s">
        <v>83</v>
      </c>
      <c r="F37" s="3"/>
    </row>
    <row r="38" spans="1:9" x14ac:dyDescent="0.55000000000000004">
      <c r="A38" s="19"/>
      <c r="B38" s="3" t="s">
        <v>29</v>
      </c>
      <c r="C38" s="3" t="s">
        <v>11</v>
      </c>
      <c r="D38" s="17">
        <v>5000</v>
      </c>
      <c r="E38" s="27" t="s">
        <v>86</v>
      </c>
      <c r="F38" s="3"/>
    </row>
    <row r="39" spans="1:9" x14ac:dyDescent="0.55000000000000004">
      <c r="A39" s="19"/>
      <c r="B39" s="31" t="s">
        <v>90</v>
      </c>
      <c r="C39" s="31" t="s">
        <v>91</v>
      </c>
      <c r="D39" s="32">
        <v>5000</v>
      </c>
      <c r="E39" s="33" t="s">
        <v>92</v>
      </c>
      <c r="F39" s="3"/>
      <c r="G39" s="34" t="s">
        <v>93</v>
      </c>
      <c r="H39" s="35"/>
      <c r="I39" s="35"/>
    </row>
    <row r="40" spans="1:9" x14ac:dyDescent="0.55000000000000004">
      <c r="A40" s="19"/>
      <c r="B40" s="31" t="s">
        <v>106</v>
      </c>
      <c r="C40" s="31" t="s">
        <v>107</v>
      </c>
      <c r="D40" s="32">
        <v>5000</v>
      </c>
      <c r="E40" s="33" t="s">
        <v>105</v>
      </c>
      <c r="F40" s="3"/>
      <c r="G40" s="34" t="s">
        <v>93</v>
      </c>
      <c r="H40" s="35"/>
      <c r="I40" s="35"/>
    </row>
    <row r="41" spans="1:9" x14ac:dyDescent="0.55000000000000004">
      <c r="A41" s="19"/>
      <c r="B41" s="6"/>
      <c r="C41" s="6"/>
      <c r="D41" s="4"/>
      <c r="E41" s="26"/>
      <c r="F41" s="3"/>
    </row>
    <row r="42" spans="1:9" x14ac:dyDescent="0.55000000000000004">
      <c r="A42" s="19"/>
      <c r="B42" s="6"/>
      <c r="C42" s="6"/>
      <c r="D42" s="18"/>
      <c r="E42" s="28"/>
      <c r="F42" s="20">
        <f>SUM(D23:D41)</f>
        <v>79000</v>
      </c>
    </row>
    <row r="43" spans="1:9" x14ac:dyDescent="0.55000000000000004">
      <c r="A43" s="19" t="s">
        <v>13</v>
      </c>
      <c r="B43" s="3" t="s">
        <v>55</v>
      </c>
      <c r="C43" s="3" t="s">
        <v>14</v>
      </c>
      <c r="D43" s="4">
        <v>3000</v>
      </c>
      <c r="E43" s="26" t="s">
        <v>56</v>
      </c>
      <c r="F43" s="9"/>
    </row>
    <row r="44" spans="1:9" x14ac:dyDescent="0.55000000000000004">
      <c r="A44" s="19"/>
      <c r="B44" s="3"/>
      <c r="C44" s="3"/>
      <c r="D44" s="4">
        <v>30000</v>
      </c>
      <c r="E44" s="26" t="s">
        <v>61</v>
      </c>
      <c r="F44" s="9" t="s">
        <v>63</v>
      </c>
    </row>
    <row r="45" spans="1:9" x14ac:dyDescent="0.55000000000000004">
      <c r="A45" s="19"/>
      <c r="B45" s="3"/>
      <c r="C45" s="3"/>
      <c r="D45" s="4">
        <v>3000</v>
      </c>
      <c r="E45" s="26" t="s">
        <v>109</v>
      </c>
      <c r="F45" s="9"/>
      <c r="G45" s="34" t="s">
        <v>93</v>
      </c>
    </row>
    <row r="46" spans="1:9" x14ac:dyDescent="0.55000000000000004">
      <c r="A46" s="19"/>
      <c r="B46" s="3"/>
      <c r="C46" s="3"/>
      <c r="D46" s="4">
        <v>5000</v>
      </c>
      <c r="E46" s="26" t="s">
        <v>109</v>
      </c>
      <c r="F46" s="9"/>
      <c r="G46" s="34" t="s">
        <v>93</v>
      </c>
    </row>
    <row r="47" spans="1:9" x14ac:dyDescent="0.55000000000000004">
      <c r="A47" s="19"/>
      <c r="B47" s="3" t="s">
        <v>101</v>
      </c>
      <c r="C47" s="3" t="s">
        <v>30</v>
      </c>
      <c r="D47" s="4">
        <v>5000</v>
      </c>
      <c r="E47" s="26" t="s">
        <v>60</v>
      </c>
      <c r="F47" s="9"/>
    </row>
    <row r="48" spans="1:9" x14ac:dyDescent="0.55000000000000004">
      <c r="A48" s="19"/>
      <c r="B48" s="3"/>
      <c r="C48" s="3"/>
      <c r="D48" s="4">
        <v>5000</v>
      </c>
      <c r="E48" s="26" t="s">
        <v>73</v>
      </c>
      <c r="F48" s="9"/>
    </row>
    <row r="49" spans="1:7" x14ac:dyDescent="0.55000000000000004">
      <c r="A49" s="19"/>
      <c r="B49" s="3"/>
      <c r="C49" s="3"/>
      <c r="D49" s="4">
        <v>5000</v>
      </c>
      <c r="E49" s="26" t="s">
        <v>82</v>
      </c>
      <c r="F49" s="9"/>
    </row>
    <row r="50" spans="1:7" x14ac:dyDescent="0.55000000000000004">
      <c r="A50" s="19"/>
      <c r="B50" s="3"/>
      <c r="C50" s="3"/>
      <c r="D50" s="4">
        <v>5000</v>
      </c>
      <c r="E50" s="26" t="s">
        <v>115</v>
      </c>
      <c r="F50" s="9"/>
      <c r="G50" s="34" t="s">
        <v>93</v>
      </c>
    </row>
    <row r="51" spans="1:7" x14ac:dyDescent="0.55000000000000004">
      <c r="A51" s="19"/>
      <c r="B51" s="3"/>
      <c r="C51" s="3"/>
      <c r="D51" s="4">
        <v>30000</v>
      </c>
      <c r="E51" s="26" t="s">
        <v>116</v>
      </c>
      <c r="F51" s="9" t="s">
        <v>63</v>
      </c>
      <c r="G51" s="34" t="s">
        <v>93</v>
      </c>
    </row>
    <row r="52" spans="1:7" x14ac:dyDescent="0.55000000000000004">
      <c r="A52" s="19"/>
      <c r="B52" s="3" t="s">
        <v>100</v>
      </c>
      <c r="C52" s="3" t="s">
        <v>23</v>
      </c>
      <c r="D52" s="4">
        <v>5000</v>
      </c>
      <c r="E52" s="26" t="s">
        <v>61</v>
      </c>
      <c r="F52" s="3"/>
    </row>
    <row r="53" spans="1:7" x14ac:dyDescent="0.55000000000000004">
      <c r="A53" s="19"/>
      <c r="B53" s="3"/>
      <c r="C53" s="3"/>
      <c r="D53" s="4">
        <v>30000</v>
      </c>
      <c r="E53" s="26" t="s">
        <v>61</v>
      </c>
      <c r="F53" s="9" t="s">
        <v>63</v>
      </c>
    </row>
    <row r="54" spans="1:7" x14ac:dyDescent="0.55000000000000004">
      <c r="A54" s="19"/>
      <c r="B54" s="3"/>
      <c r="C54" s="3"/>
      <c r="D54" s="4">
        <v>17500</v>
      </c>
      <c r="E54" s="26" t="s">
        <v>113</v>
      </c>
      <c r="F54" s="9" t="s">
        <v>114</v>
      </c>
      <c r="G54" s="34" t="s">
        <v>93</v>
      </c>
    </row>
    <row r="55" spans="1:7" x14ac:dyDescent="0.55000000000000004">
      <c r="A55" s="19"/>
      <c r="B55" s="3"/>
      <c r="C55" s="3"/>
      <c r="D55" s="4"/>
      <c r="E55" s="26"/>
      <c r="F55" s="9"/>
    </row>
    <row r="56" spans="1:7" x14ac:dyDescent="0.55000000000000004">
      <c r="A56" s="19"/>
      <c r="B56" s="3" t="s">
        <v>75</v>
      </c>
      <c r="C56" s="3" t="s">
        <v>22</v>
      </c>
      <c r="D56" s="4">
        <v>5000</v>
      </c>
      <c r="E56" s="26" t="s">
        <v>76</v>
      </c>
      <c r="F56" s="9"/>
    </row>
    <row r="57" spans="1:7" x14ac:dyDescent="0.55000000000000004">
      <c r="A57" s="19"/>
      <c r="B57" s="3"/>
      <c r="C57" s="3"/>
      <c r="D57" s="4">
        <v>30000</v>
      </c>
      <c r="E57" s="26" t="s">
        <v>76</v>
      </c>
      <c r="F57" s="9" t="s">
        <v>63</v>
      </c>
    </row>
    <row r="58" spans="1:7" x14ac:dyDescent="0.55000000000000004">
      <c r="A58" s="19"/>
      <c r="B58" s="3"/>
      <c r="C58" s="3"/>
      <c r="D58" s="4">
        <v>15000</v>
      </c>
      <c r="E58" s="26" t="s">
        <v>105</v>
      </c>
      <c r="F58" s="9"/>
      <c r="G58" s="34" t="s">
        <v>93</v>
      </c>
    </row>
    <row r="59" spans="1:7" x14ac:dyDescent="0.55000000000000004">
      <c r="A59" s="19"/>
      <c r="B59" s="3" t="s">
        <v>77</v>
      </c>
      <c r="C59" s="3" t="s">
        <v>15</v>
      </c>
      <c r="D59" s="4">
        <v>6000</v>
      </c>
      <c r="E59" s="26" t="s">
        <v>78</v>
      </c>
      <c r="F59" s="9" t="s">
        <v>41</v>
      </c>
    </row>
    <row r="60" spans="1:7" x14ac:dyDescent="0.55000000000000004">
      <c r="A60" s="19"/>
      <c r="B60" s="3"/>
      <c r="C60" s="3"/>
      <c r="D60" s="4">
        <v>4000</v>
      </c>
      <c r="E60" s="26" t="s">
        <v>84</v>
      </c>
      <c r="F60" s="9"/>
    </row>
    <row r="61" spans="1:7" x14ac:dyDescent="0.55000000000000004">
      <c r="A61" s="19"/>
      <c r="B61" s="3"/>
      <c r="C61" s="3"/>
      <c r="D61" s="4">
        <v>3000</v>
      </c>
      <c r="E61" s="26" t="s">
        <v>85</v>
      </c>
      <c r="F61" s="9"/>
    </row>
    <row r="62" spans="1:7" x14ac:dyDescent="0.55000000000000004">
      <c r="A62" s="19"/>
      <c r="B62" s="3" t="s">
        <v>94</v>
      </c>
      <c r="C62" s="3" t="s">
        <v>95</v>
      </c>
      <c r="D62" s="4">
        <v>5000</v>
      </c>
      <c r="E62" s="26" t="s">
        <v>96</v>
      </c>
      <c r="F62" s="9"/>
    </row>
    <row r="63" spans="1:7" x14ac:dyDescent="0.55000000000000004">
      <c r="A63" s="19"/>
      <c r="B63" s="3" t="s">
        <v>97</v>
      </c>
      <c r="C63" s="3" t="s">
        <v>98</v>
      </c>
      <c r="D63" s="4">
        <v>5000</v>
      </c>
      <c r="E63" s="26" t="s">
        <v>99</v>
      </c>
      <c r="F63" s="9"/>
    </row>
    <row r="64" spans="1:7" x14ac:dyDescent="0.55000000000000004">
      <c r="A64" s="19"/>
      <c r="B64" s="3" t="s">
        <v>102</v>
      </c>
      <c r="C64" s="3" t="s">
        <v>103</v>
      </c>
      <c r="D64" s="4">
        <v>4000</v>
      </c>
      <c r="E64" s="26" t="s">
        <v>104</v>
      </c>
      <c r="F64" s="9"/>
      <c r="G64" s="34" t="s">
        <v>93</v>
      </c>
    </row>
    <row r="65" spans="1:8" x14ac:dyDescent="0.55000000000000004">
      <c r="A65" s="19"/>
      <c r="B65" s="3"/>
      <c r="C65" s="3"/>
      <c r="D65" s="4">
        <v>4000</v>
      </c>
      <c r="E65" s="26" t="s">
        <v>110</v>
      </c>
      <c r="F65" s="9"/>
      <c r="G65" s="34" t="s">
        <v>93</v>
      </c>
    </row>
    <row r="66" spans="1:8" x14ac:dyDescent="0.55000000000000004">
      <c r="A66" s="19"/>
      <c r="B66" s="3"/>
      <c r="C66" s="3"/>
      <c r="D66" s="4"/>
      <c r="E66" s="27"/>
      <c r="F66" s="9"/>
    </row>
    <row r="67" spans="1:8" x14ac:dyDescent="0.55000000000000004">
      <c r="A67" s="3"/>
      <c r="B67" s="6"/>
      <c r="C67" s="6"/>
      <c r="D67" s="24"/>
      <c r="E67" s="26"/>
      <c r="F67" s="20">
        <f>SUM(D43:D66)</f>
        <v>224500</v>
      </c>
    </row>
    <row r="68" spans="1:8" x14ac:dyDescent="0.55000000000000004">
      <c r="A68" s="19" t="s">
        <v>21</v>
      </c>
      <c r="B68" s="3" t="s">
        <v>50</v>
      </c>
      <c r="C68" s="3" t="s">
        <v>51</v>
      </c>
      <c r="D68" s="24">
        <v>2000</v>
      </c>
      <c r="E68" s="26" t="s">
        <v>52</v>
      </c>
      <c r="F68" s="20"/>
    </row>
    <row r="69" spans="1:8" x14ac:dyDescent="0.55000000000000004">
      <c r="A69" s="2"/>
      <c r="B69" s="6"/>
      <c r="C69" s="6"/>
      <c r="D69" s="10"/>
      <c r="E69" s="28"/>
      <c r="F69" s="5"/>
    </row>
    <row r="70" spans="1:8" x14ac:dyDescent="0.55000000000000004">
      <c r="A70" s="8"/>
      <c r="B70" s="8"/>
      <c r="C70" s="8"/>
      <c r="D70" s="11"/>
      <c r="E70" s="29"/>
      <c r="F70" s="5">
        <f>SUM(D68:D70)</f>
        <v>2000</v>
      </c>
    </row>
    <row r="71" spans="1:8" x14ac:dyDescent="0.55000000000000004">
      <c r="D71" s="12">
        <f>SUM(D4:D70)</f>
        <v>402000</v>
      </c>
      <c r="F71" s="13"/>
      <c r="H71" s="14"/>
    </row>
    <row r="72" spans="1:8" x14ac:dyDescent="0.55000000000000004">
      <c r="E72" s="15"/>
    </row>
    <row r="73" spans="1:8" x14ac:dyDescent="0.55000000000000004">
      <c r="E73" s="30" t="s">
        <v>89</v>
      </c>
    </row>
    <row r="74" spans="1:8" x14ac:dyDescent="0.55000000000000004">
      <c r="E74" s="30" t="s">
        <v>120</v>
      </c>
    </row>
  </sheetData>
  <mergeCells count="3">
    <mergeCell ref="A1:F1"/>
    <mergeCell ref="A2:F2"/>
    <mergeCell ref="B3:C3"/>
  </mergeCells>
  <pageMargins left="0.38541666666666669" right="0.27083333333333331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2568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2025-09-24T04:58:14Z</dcterms:modified>
</cp:coreProperties>
</file>